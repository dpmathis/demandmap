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Scenarios" sheetId="3" state="visible" r:id="rId5"/>
    <sheet name="Ad 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<sst xmlns="http://schemas.openxmlformats.org/spreadsheetml/2006/main" count="130" uniqueCount="106">
  <si>
    <t xml:space="preserve">DemandMap — Financial Model</t>
  </si>
  <si>
    <t xml:space="preserve">$10K Budget | $10K Profit Target | 6 Months</t>
  </si>
  <si>
    <t xml:space="preserve">PRICING ASSUMPTIONS</t>
  </si>
  <si>
    <t xml:space="preserve">Free tier price</t>
  </si>
  <si>
    <t xml:space="preserve">Unlimited free tier to drive signups</t>
  </si>
  <si>
    <t xml:space="preserve">Starter tier price ($/mo)</t>
  </si>
  <si>
    <t xml:space="preserve">1 city, 3 users, all features</t>
  </si>
  <si>
    <t xml:space="preserve">Pro tier price ($/mo)</t>
  </si>
  <si>
    <t xml:space="preserve">3 cities, 10 users, API access</t>
  </si>
  <si>
    <t xml:space="preserve">Avg revenue per paying user ($/mo)</t>
  </si>
  <si>
    <t xml:space="preserve">Blended: mostly Starter + some Pro</t>
  </si>
  <si>
    <t xml:space="preserve">Free-to-paid conversion rate</t>
  </si>
  <si>
    <t xml:space="preserve">Industry avg 5-10%; we target 12% with street demos</t>
  </si>
  <si>
    <t xml:space="preserve">Monthly churn rate (paying)</t>
  </si>
  <si>
    <t xml:space="preserve">Food trucks are seasonal; expect higher early churn</t>
  </si>
  <si>
    <t xml:space="preserve">SIGNUP ASSUMPTIONS (per month)</t>
  </si>
  <si>
    <t xml:space="preserve">6-Mo Total</t>
  </si>
  <si>
    <t xml:space="preserve">New signups from street team</t>
  </si>
  <si>
    <t xml:space="preserve">New signups from paid ads</t>
  </si>
  <si>
    <t xml:space="preserve">New signups from referrals</t>
  </si>
  <si>
    <t xml:space="preserve">Total new signups</t>
  </si>
  <si>
    <t xml:space="preserve">COST ASSUMPTIONS (per month)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</si>
  <si>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</si>
  <si>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</si>
  <si>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</si>
  <si>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</si>
  <si>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</si>
  <si>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</si>
  <si>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Person 1 — hrs/week</t>
  </si>
  <si>
    <t xml:space="preserve">Person 2 — hrs/week</t>
  </si>
  <si>
    <t xml:space="preserve">Hourly rate ($)</t>
  </si>
  <si>
    <t xml:space="preserve">Weeks per month</t>
  </si>
  <si>
    <t xml:space="preserve">Street team monthly cost</t>
  </si>
  <si>
    <t xml:space="preserve">Paid ad spend</t>
  </si>
  <si>
    <t xml:space="preserve">Materials (stickers, cards, tees)</t>
  </si>
  <si>
    <t xml:space="preserve">Tools (Canva, domain, tripod)</t>
  </si>
  <si>
    <t xml:space="preserve">Stripe processing fee rate</t>
  </si>
  <si>
    <t xml:space="preserve">Profit &amp; Loss — 6-Month Projection</t>
  </si>
  <si>
    <t xml:space="preserve">USERS</t>
  </si>
  <si>
    <t xml:space="preserve">New signups</t>
  </si>
  <si>
    <t xml:space="preserve">Cumulative free users</t>
  </si>
  <si>
    <t xml:space="preserve">New conversions to paid</t>
  </si>
  <si>
    <t xml:space="preserve">Churned paying users</t>
  </si>
  <si>
    <t xml:space="preserve">Active paying users (end of month)</t>
  </si>
  <si>
    <t xml:space="preserve">REVENUE</t>
  </si>
  <si>
    <t xml:space="preserve">Subscription revenue</t>
  </si>
  <si>
    <t xml:space="preserve">Less: payment processing (3.5%)</t>
  </si>
  <si>
    <t xml:space="preserve">Net Revenue</t>
  </si>
  <si>
    <t xml:space="preserve">COSTS</t>
  </si>
  <si>
    <t xml:space="preserve">Street team ($20/hr)</t>
  </si>
  <si>
    <t xml:space="preserve">Paid ads (Meta + Google + TikTok)</t>
  </si>
  <si>
    <t xml:space="preserve">Materials + swag</t>
  </si>
  <si>
    <t xml:space="preserve">Tools + subscriptions</t>
  </si>
  <si>
    <t xml:space="preserve">Total Costs</t>
  </si>
  <si>
    <t xml:space="preserve">BOTTOM LINE</t>
  </si>
  <si>
    <t xml:space="preserve">Monthly Profit / (Loss)</t>
  </si>
  <si>
    <t xml:space="preserve">Cumulative Profit / (Loss)</t>
  </si>
  <si>
    <t xml:space="preserve">KEY METRICS</t>
  </si>
  <si>
    <t xml:space="preserve">MRR (Monthly Recurring Revenue)</t>
  </si>
  <si>
    <t xml:space="preserve">CAC — Street (cost per signup)</t>
  </si>
  <si>
    <t xml:space="preserve">CAC — Ads (cost per signup)</t>
  </si>
  <si>
    <t xml:space="preserve">LTV (ARPU / monthly churn)</t>
  </si>
  <si>
    <t xml:space="preserve">LTV:CAC ratio (blended)</t>
  </si>
  <si>
    <t xml:space="preserve">Monthly burn rate</t>
  </si>
  <si>
    <t xml:space="preserve">Scenario Analysis — Path to $10K Profit</t>
  </si>
  <si>
    <t xml:space="preserve">Conservative</t>
  </si>
  <si>
    <t xml:space="preserve">Base Case</t>
  </si>
  <si>
    <t xml:space="preserve">Aggressive</t>
  </si>
  <si>
    <t xml:space="preserve">6-mo signups (total)</t>
  </si>
  <si>
    <t xml:space="preserve">Free-to-paid conversion</t>
  </si>
  <si>
    <t xml:space="preserve">Avg revenue/user/mo</t>
  </si>
  <si>
    <t xml:space="preserve">Monthly churn</t>
  </si>
  <si>
    <t xml:space="preserve">Paying users at month 6</t>
  </si>
  <si>
    <t xml:space="preserve">MRR at month 6</t>
  </si>
  <si>
    <t xml:space="preserve">6-mo total revenue (est)</t>
  </si>
  <si>
    <t xml:space="preserve">Total 6-mo costs</t>
  </si>
  <si>
    <t xml:space="preserve">6-Month Profit / (Loss)</t>
  </si>
  <si>
    <t xml:space="preserve">Months to $10K cumulative profit</t>
  </si>
  <si>
    <t xml:space="preserve">Total costs are $9,342 over 6 months. Revenue must reach $19,342 to net $10K profit.</t>
  </si>
  <si>
    <t xml:space="preserve">At $35 ARPU, that means ~553 paying user-months (e.g., ~92 avg paying users over 6 months).</t>
  </si>
  <si>
    <t xml:space="preserve">Base case P&amp;L model projects $7,883 profit. Aggressive case exceeds $10K.</t>
  </si>
  <si>
    <t xml:space="preserve">Key lever: conversion rate. Moving from 14% to 20% nearly doubles the paying base.</t>
  </si>
  <si>
    <t xml:space="preserve">Secondary lever: churn. Dropping from 5% to 3% adds ~30 paying users by month 6.</t>
  </si>
  <si>
    <t xml:space="preserve">At $20/hr, each street marketer costs ~$1K/mo. Scale hours down as ads take over.</t>
  </si>
  <si>
    <t xml:space="preserve">Secondary lever: churn. Dropping from 6% to 4% adds ~15 paying users by month 6.</t>
  </si>
  <si>
    <t xml:space="preserve">Paid Ad Budget Breakdown</t>
  </si>
  <si>
    <t xml:space="preserve">META (Instagram + Facebook)</t>
  </si>
  <si>
    <t xml:space="preserve">Spend</t>
  </si>
  <si>
    <t xml:space="preserve">CPM ($)</t>
  </si>
  <si>
    <t xml:space="preserve">Impressions</t>
  </si>
  <si>
    <t xml:space="preserve">CTR</t>
  </si>
  <si>
    <t xml:space="preserve">Clicks</t>
  </si>
  <si>
    <t xml:space="preserve">Signup conversion rate</t>
  </si>
  <si>
    <t xml:space="preserve">Signups from Meta</t>
  </si>
  <si>
    <t xml:space="preserve">Cost per signup (Meta)</t>
  </si>
  <si>
    <t xml:space="preserve">GOOGLE SEARCH ADS</t>
  </si>
  <si>
    <t xml:space="preserve">Avg CPC ($)</t>
  </si>
  <si>
    <t xml:space="preserve">Signups from Google</t>
  </si>
  <si>
    <t xml:space="preserve">Cost per signup (Google)</t>
  </si>
  <si>
    <t xml:space="preserve">TIKTOK SPARK ADS</t>
  </si>
  <si>
    <t xml:space="preserve">Signups from TikTok</t>
  </si>
  <si>
    <t xml:space="preserve">Cost per signup (TikTok)</t>
  </si>
  <si>
    <t xml:space="preserve">TOTAL AD PERFORMANCE</t>
  </si>
  <si>
    <t xml:space="preserve">Total ad spend</t>
  </si>
  <si>
    <t xml:space="preserve">Total signups from ads</t>
  </si>
  <si>
    <t xml:space="preserve">Blended cost per signup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</si>
</sst>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;&quot;($&quot;#,##0\);\-"/>
    <numFmt numFmtId="167" formatCode="0.0%"/>
    <numFmt numFmtId="168" formatCode="#,##0.0"/>
    <numFmt numFmtId="169" formatCode="\$#,##0;[RED]&quot;($&quot;#,##0\);\-"/>
    <numFmt numFmtId="170" formatCode="0.0\x"/>
    <numFmt numFmtId="171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E94560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FFFF0"/>
        <bgColor rgb="FFFFFFFF"/>
      </patternFill>
    </fill>
    <fill>
      <patternFill patternType="solid">
        <fgColor rgb="FF1A1A2E"/>
        <bgColor rgb="FF0F3460"/>
      </patternFill>
    </fill>
    <fill>
      <patternFill patternType="solid">
        <fgColor rgb="FFE8F5E9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/>
      <right/>
      <top/>
      <bottom style="medium">
        <color rgb="FF1A1A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F43"/>
      <rgbColor rgb="FFE94560"/>
      <rgbColor rgb="FF666666"/>
      <rgbColor rgb="FF969696"/>
      <rgbColor rgb="FF0F3460"/>
      <rgbColor rgb="FF22C55E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8" min="8" style="1" width="16"/>
    <col collapsed="false" customWidth="true" hidden="false" outlineLevel="0" max="9" min="9" style="1" width="20"/>
  </cols>
  <sheetData>
    <row r="1" customFormat="false" ht="19.5" hidden="false" customHeight="true" outlineLevel="0" collapsed="false">
      <c r="A1" s="2" t="s">
        <v>0</v>
      </c>
      <c r="B1" s="3" t="s">
        <v>1</v>
      </c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34.5" hidden="false" customHeight="true" outlineLevel="0" collapsed="false">
      <c r="A4" s="5" t="s">
        <v>3</v>
      </c>
      <c r="B4" s="6" t="n">
        <v>0</v>
      </c>
      <c r="C4" s="7" t="s">
        <v>4</v>
      </c>
    </row>
    <row r="5" customFormat="false" ht="23.25" hidden="false" customHeight="true" outlineLevel="0" collapsed="false">
      <c r="A5" s="5" t="s">
        <v>5</v>
      </c>
      <c r="B5" s="8" t="n">
        <v>29</v>
      </c>
      <c r="C5" s="7" t="s">
        <v>6</v>
      </c>
    </row>
    <row r="6" customFormat="false" ht="34.5" hidden="false" customHeight="true" outlineLevel="0" collapsed="false">
      <c r="A6" s="5" t="s">
        <v>7</v>
      </c>
      <c r="B6" s="8" t="n">
        <v>79</v>
      </c>
      <c r="C6" s="7" t="s">
        <v>8</v>
      </c>
    </row>
    <row r="7" customFormat="false" ht="34.5" hidden="false" customHeight="true" outlineLevel="0" collapsed="false">
      <c r="A7" s="5" t="s">
        <v>9</v>
      </c>
      <c r="B7" s="8" t="n">
        <v>35</v>
      </c>
      <c r="C7" s="7" t="s">
        <v>10</v>
      </c>
    </row>
    <row r="8" customFormat="false" ht="45.75" hidden="false" customHeight="true" outlineLevel="0" collapsed="false">
      <c r="A8" s="5" t="s">
        <v>11</v>
      </c>
      <c r="B8" s="9" t="n">
        <v>0.14</v>
      </c>
      <c r="C8" s="7" t="s">
        <v>12</v>
      </c>
    </row>
    <row r="9" customFormat="false" ht="45.75" hidden="false" customHeight="true" outlineLevel="0" collapsed="false">
      <c r="A9" s="5" t="s">
        <v>13</v>
      </c>
      <c r="B9" s="9" t="n">
        <v>0.05</v>
      </c>
      <c r="C9" s="7" t="s">
        <v>14</v>
      </c>
    </row>
    <row r="11" customFormat="false" ht="18" hidden="false" customHeight="true" outlineLevel="0" collapsed="false">
      <c r="A11" s="4" t="s">
        <v>15</v>
      </c>
      <c r="B11" s="4"/>
      <c r="C11" s="4"/>
      <c r="D11" s="4"/>
      <c r="E11" s="4"/>
      <c r="F11" s="4"/>
      <c r="G11" s="4"/>
      <c r="H11" s="4"/>
    </row>
    <row r="12" customFormat="false" ht="18" hidden="false" customHeight="true" outlineLevel="0" collapsed="false">
      <c r="A12" s="10"/>
      <c r="B12" s="10" t="n">
        <v>25</v>
      </c>
      <c r="C12" s="10" t="n">
        <v>40</v>
      </c>
      <c r="D12" s="10" t="n">
        <v>45</v>
      </c>
      <c r="E12" s="10" t="n">
        <v>40</v>
      </c>
      <c r="F12" s="10" t="n">
        <v>30</v>
      </c>
      <c r="G12" s="10" t="n">
        <v>25</v>
      </c>
      <c r="H12" s="10" t="s">
        <v>16</v>
      </c>
    </row>
    <row r="13" customFormat="false" ht="18" hidden="false" customHeight="true" outlineLevel="0" collapsed="false">
      <c r="A13" s="5" t="s">
        <v>17</v>
      </c>
      <c r="B13" s="6" t="n">
        <v>25</v>
      </c>
      <c r="C13" s="6" t="n">
        <v>40</v>
      </c>
      <c r="D13" s="6" t="n">
        <v>45</v>
      </c>
      <c r="E13" s="6" t="n">
        <v>40</v>
      </c>
      <c r="F13" s="6" t="n">
        <v>30</v>
      </c>
      <c r="G13" s="6" t="n">
        <v>25</v>
      </c>
      <c r="H13" s="11" t="n">
        <f aca="false">SUM(B13:G13)</f>
        <v>205</v>
      </c>
    </row>
    <row r="14" customFormat="false" ht="18" hidden="false" customHeight="true" outlineLevel="0" collapsed="false">
      <c r="A14" s="5" t="s">
        <v>18</v>
      </c>
      <c r="B14" s="6" t="n">
        <v>8</v>
      </c>
      <c r="C14" s="6" t="n">
        <v>20</v>
      </c>
      <c r="D14" s="6" t="n">
        <v>35</v>
      </c>
      <c r="E14" s="6" t="n">
        <v>50</v>
      </c>
      <c r="F14" s="6" t="n">
        <v>65</v>
      </c>
      <c r="G14" s="6" t="n">
        <v>80</v>
      </c>
      <c r="H14" s="11" t="n">
        <f aca="false">SUM(B14:G14)</f>
        <v>258</v>
      </c>
    </row>
    <row r="15" customFormat="false" ht="18" hidden="false" customHeight="true" outlineLevel="0" collapsed="false">
      <c r="A15" s="5" t="s">
        <v>19</v>
      </c>
      <c r="B15" s="6" t="n">
        <v>0</v>
      </c>
      <c r="C15" s="6" t="n">
        <v>5</v>
      </c>
      <c r="D15" s="6" t="n">
        <v>12</v>
      </c>
      <c r="E15" s="6" t="n">
        <v>22</v>
      </c>
      <c r="F15" s="6" t="n">
        <v>35</v>
      </c>
      <c r="G15" s="6" t="n">
        <v>45</v>
      </c>
      <c r="H15" s="11" t="n">
        <f aca="false">SUM(B15:G15)</f>
        <v>119</v>
      </c>
    </row>
    <row r="16" customFormat="false" ht="18" hidden="false" customHeight="true" outlineLevel="0" collapsed="false">
      <c r="A16" s="12" t="s">
        <v>20</v>
      </c>
      <c r="B16" s="13" t="n">
        <f aca="false">B13+B14+B15</f>
        <v>33</v>
      </c>
      <c r="C16" s="13" t="n">
        <f aca="false">C13+C14+C15</f>
        <v>65</v>
      </c>
      <c r="D16" s="13" t="n">
        <f aca="false">D13+D14+D15</f>
        <v>92</v>
      </c>
      <c r="E16" s="13" t="n">
        <f aca="false">E13+E14+E15</f>
        <v>112</v>
      </c>
      <c r="F16" s="13" t="n">
        <f aca="false">F13+F14+F15</f>
        <v>130</v>
      </c>
      <c r="G16" s="13" t="n">
        <f aca="false">G13+G14+G15</f>
        <v>150</v>
      </c>
      <c r="H16" s="14" t="n">
        <f aca="false">SUM(B16:G16)</f>
        <v>582</v>
      </c>
    </row>
    <row r="18" customFormat="false" ht="18" hidden="false" customHeight="true" outlineLevel="0" collapsed="false">
      <c r="A18" s="4" t="s">
        <v>21</v>
      </c>
      <c r="B18" s="4"/>
      <c r="C18" s="4"/>
      <c r="D18" s="4"/>
      <c r="E18" s="4"/>
      <c r="F18" s="4"/>
      <c r="G18" s="4"/>
      <c r="H18" s="4"/>
    </row>
    <row r="19" customFormat="false" ht="18" hidden="false" customHeight="true" outlineLevel="0" collapsed="false">
      <c r="A19" s="10"/>
      <c r="B19" s="10" t="s">
        <v>22</v>
      </c>
      <c r="C19" s="10" t="s">
        <v>23</v>
      </c>
      <c r="D19" s="10" t="s">
        <v>24</v>
      </c>
      <c r="E19" s="10" t="s">
        <v>25</v>
      </c>
      <c r="F19" s="10" t="s">
        <v>26</v>
      </c>
      <c r="G19" s="10" t="s">
        <v>27</v>
      </c>
      <c r="H19" s="10" t="s">
        <v>16</v>
      </c>
    </row>
    <row r="20" customFormat="false" ht="18" hidden="false" customHeight="true" outlineLevel="0" collapsed="false">
      <c r="A20" s="5" t="s">
        <v>28</v>
      </c>
      <c r="B20" s="6" t="n">
        <v>8</v>
      </c>
      <c r="C20" s="6" t="n">
        <v>10</v>
      </c>
      <c r="D20" s="6" t="n">
        <v>10</v>
      </c>
      <c r="E20" s="6" t="n">
        <v>8</v>
      </c>
      <c r="F20" s="6" t="n">
        <v>6</v>
      </c>
      <c r="G20" s="6" t="n">
        <v>5</v>
      </c>
    </row>
    <row r="21" customFormat="false" ht="18" hidden="false" customHeight="true" outlineLevel="0" collapsed="false">
      <c r="A21" s="5" t="s">
        <v>29</v>
      </c>
      <c r="B21" s="6" t="n">
        <v>0</v>
      </c>
      <c r="C21" s="6" t="n">
        <v>6</v>
      </c>
      <c r="D21" s="6" t="n">
        <v>8</v>
      </c>
      <c r="E21" s="6" t="n">
        <v>8</v>
      </c>
      <c r="F21" s="6" t="n">
        <v>6</v>
      </c>
      <c r="G21" s="6" t="n">
        <v>5</v>
      </c>
    </row>
    <row r="22" customFormat="false" ht="18" hidden="false" customHeight="true" outlineLevel="0" collapsed="false">
      <c r="A22" s="5" t="s">
        <v>30</v>
      </c>
      <c r="B22" s="8" t="n">
        <v>20</v>
      </c>
      <c r="C22" s="15" t="n">
        <v>10</v>
      </c>
      <c r="D22" s="1" t="n">
        <v>10</v>
      </c>
      <c r="E22" s="1" t="n">
        <v>8</v>
      </c>
      <c r="F22" s="1" t="n">
        <v>6</v>
      </c>
      <c r="G22" s="1" t="n">
        <v>5</v>
      </c>
    </row>
    <row r="23" customFormat="false" ht="18" hidden="false" customHeight="true" outlineLevel="0" collapsed="false">
      <c r="A23" s="5" t="s">
        <v>31</v>
      </c>
      <c r="B23" s="16" t="n">
        <v>4.3</v>
      </c>
      <c r="C23" s="1" t="n">
        <v>6</v>
      </c>
      <c r="D23" s="1" t="n">
        <v>8</v>
      </c>
      <c r="E23" s="1" t="n">
        <v>8</v>
      </c>
      <c r="F23" s="1" t="n">
        <v>6</v>
      </c>
      <c r="G23" s="1" t="n">
        <v>5</v>
      </c>
    </row>
    <row r="24" customFormat="false" ht="18" hidden="false" customHeight="true" outlineLevel="0" collapsed="false">
      <c r="A24" s="5" t="s">
        <v>32</v>
      </c>
      <c r="B24" s="17" t="n">
        <f aca="false">(B20+B21)*$B$22*$B$23</f>
        <v>688</v>
      </c>
      <c r="C24" s="17" t="n">
        <f aca="false">(C20+C21)*$B$22*$B$23</f>
        <v>1376</v>
      </c>
      <c r="D24" s="17" t="n">
        <f aca="false">(D20+D21)*$B$22*$B$23</f>
        <v>1548</v>
      </c>
      <c r="E24" s="17" t="n">
        <f aca="false">(E20+E21)*$B$22*$B$23</f>
        <v>1376</v>
      </c>
      <c r="F24" s="17" t="n">
        <f aca="false">(F20+F21)*$B$22*$B$23</f>
        <v>1032</v>
      </c>
      <c r="G24" s="17" t="n">
        <f aca="false">(G20+G21)*$B$22*$B$23</f>
        <v>860</v>
      </c>
      <c r="H24" s="18" t="n">
        <f aca="false">SUM(B24:G24)</f>
        <v>6880</v>
      </c>
    </row>
    <row r="25" customFormat="false" ht="18" hidden="false" customHeight="true" outlineLevel="0" collapsed="false">
      <c r="A25" s="5" t="s">
        <v>33</v>
      </c>
      <c r="B25" s="8" t="n">
        <v>100</v>
      </c>
      <c r="C25" s="8" t="n">
        <v>200</v>
      </c>
      <c r="D25" s="8" t="n">
        <v>300</v>
      </c>
      <c r="E25" s="8" t="n">
        <v>400</v>
      </c>
      <c r="F25" s="8" t="n">
        <v>500</v>
      </c>
      <c r="G25" s="8" t="n">
        <v>500</v>
      </c>
      <c r="H25" s="18" t="n">
        <f aca="false">SUM(B25:G25)</f>
        <v>2000</v>
      </c>
    </row>
    <row r="26" customFormat="false" ht="18" hidden="false" customHeight="true" outlineLevel="0" collapsed="false">
      <c r="A26" s="5" t="s">
        <v>34</v>
      </c>
      <c r="B26" s="8" t="n">
        <v>300</v>
      </c>
      <c r="C26" s="8" t="n">
        <v>0</v>
      </c>
      <c r="D26" s="8" t="n">
        <v>50</v>
      </c>
      <c r="E26" s="8" t="n">
        <v>0</v>
      </c>
      <c r="F26" s="8" t="n">
        <v>0</v>
      </c>
      <c r="G26" s="8" t="n">
        <v>0</v>
      </c>
      <c r="H26" s="18" t="n">
        <f aca="false">SUM(B26:G26)</f>
        <v>350</v>
      </c>
    </row>
    <row r="27" customFormat="false" ht="18" hidden="false" customHeight="true" outlineLevel="0" collapsed="false">
      <c r="A27" s="5" t="s">
        <v>35</v>
      </c>
      <c r="B27" s="8" t="n">
        <v>47</v>
      </c>
      <c r="C27" s="8" t="n">
        <v>13</v>
      </c>
      <c r="D27" s="8" t="n">
        <v>13</v>
      </c>
      <c r="E27" s="8" t="n">
        <v>13</v>
      </c>
      <c r="F27" s="8" t="n">
        <v>13</v>
      </c>
      <c r="G27" s="8" t="n">
        <v>13</v>
      </c>
      <c r="H27" s="18" t="n">
        <f aca="false">SUM(B27:G27)</f>
        <v>112</v>
      </c>
    </row>
    <row r="28" customFormat="false" ht="18" hidden="false" customHeight="true" outlineLevel="0" collapsed="false">
      <c r="A28" s="5" t="s">
        <v>36</v>
      </c>
      <c r="B28" s="9" t="n">
        <v>0.029</v>
      </c>
      <c r="C28" s="15" t="n">
        <v>200</v>
      </c>
      <c r="D28" s="1" t="n">
        <v>300</v>
      </c>
      <c r="E28" s="1" t="n">
        <v>400</v>
      </c>
      <c r="F28" s="1" t="n">
        <v>500</v>
      </c>
      <c r="G28" s="1" t="n">
        <v>500</v>
      </c>
    </row>
    <row r="29" customFormat="false" ht="18" hidden="false" customHeight="true" outlineLevel="0" collapsed="false">
      <c r="B29" s="1" t="n">
        <v>300</v>
      </c>
      <c r="C29" s="1" t="n">
        <v>0</v>
      </c>
      <c r="D29" s="1" t="n">
        <v>50</v>
      </c>
      <c r="E29" s="1" t="n">
        <v>0</v>
      </c>
      <c r="F29" s="1" t="n">
        <v>0</v>
      </c>
      <c r="G29" s="1" t="n">
        <v>0</v>
      </c>
    </row>
    <row r="30" customFormat="false" ht="18" hidden="false" customHeight="true" outlineLevel="0" collapsed="false">
      <c r="B30" s="1" t="n">
        <v>47</v>
      </c>
      <c r="C30" s="1" t="n">
        <v>13</v>
      </c>
      <c r="D30" s="1" t="n">
        <v>13</v>
      </c>
      <c r="E30" s="1" t="n">
        <v>13</v>
      </c>
      <c r="F30" s="1" t="n">
        <v>13</v>
      </c>
      <c r="G30" s="1" t="n">
        <v>13</v>
      </c>
    </row>
  </sheetData>
  <mergeCells count="3">
    <mergeCell ref="A3:H3"/>
    <mergeCell ref="A11:H11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8" min="8" style="1" width="16"/>
    <col collapsed="false" customWidth="true" hidden="false" outlineLevel="0" max="9" min="9" style="1" width="2"/>
  </cols>
  <sheetData>
    <row r="1" customFormat="false" ht="19.5" hidden="false" customHeight="true" outlineLevel="0" collapsed="false">
      <c r="A1" s="2" t="s">
        <v>37</v>
      </c>
    </row>
    <row r="3" customFormat="false" ht="18" hidden="false" customHeight="true" outlineLevel="0" collapsed="false">
      <c r="A3" s="10"/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16</v>
      </c>
    </row>
    <row r="4" customFormat="false" ht="18" hidden="false" customHeight="true" outlineLevel="0" collapsed="false">
      <c r="A4" s="4" t="s">
        <v>38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5" t="s">
        <v>39</v>
      </c>
      <c r="B5" s="19" t="n">
        <f aca="false">Assumptions!B16</f>
        <v>33</v>
      </c>
      <c r="C5" s="19" t="n">
        <f aca="false">Assumptions!C16</f>
        <v>65</v>
      </c>
      <c r="D5" s="19" t="n">
        <f aca="false">Assumptions!D16</f>
        <v>92</v>
      </c>
      <c r="E5" s="19" t="n">
        <f aca="false">Assumptions!E16</f>
        <v>112</v>
      </c>
      <c r="F5" s="19" t="n">
        <f aca="false">Assumptions!F16</f>
        <v>130</v>
      </c>
      <c r="G5" s="19" t="n">
        <f aca="false">Assumptions!G16</f>
        <v>150</v>
      </c>
      <c r="H5" s="20" t="n">
        <f aca="false">SUM(B5:G5)</f>
        <v>582</v>
      </c>
    </row>
    <row r="6" customFormat="false" ht="18" hidden="false" customHeight="true" outlineLevel="0" collapsed="false">
      <c r="A6" s="5" t="s">
        <v>40</v>
      </c>
      <c r="B6" s="11" t="n">
        <f aca="false">B5</f>
        <v>33</v>
      </c>
      <c r="C6" s="11" t="n">
        <f aca="false">B6+C5</f>
        <v>98</v>
      </c>
      <c r="D6" s="11" t="n">
        <f aca="false">C6+D5</f>
        <v>190</v>
      </c>
      <c r="E6" s="11" t="n">
        <f aca="false">D6+E5</f>
        <v>302</v>
      </c>
      <c r="F6" s="11" t="n">
        <f aca="false">E6+F5</f>
        <v>432</v>
      </c>
      <c r="G6" s="11" t="n">
        <f aca="false">F6+G5</f>
        <v>582</v>
      </c>
      <c r="H6" s="20" t="n">
        <f aca="false">G6</f>
        <v>582</v>
      </c>
    </row>
    <row r="7" customFormat="false" ht="18" hidden="false" customHeight="true" outlineLevel="0" collapsed="false">
      <c r="A7" s="5" t="s">
        <v>41</v>
      </c>
      <c r="B7" s="11" t="n">
        <f aca="false">ROUND(B6*Assumptions!$B$8,0)</f>
        <v>5</v>
      </c>
      <c r="C7" s="11" t="n">
        <f aca="false">ROUND(C6*Assumptions!$B$8,0)</f>
        <v>14</v>
      </c>
      <c r="D7" s="11" t="n">
        <f aca="false">ROUND(D6*Assumptions!$B$8,0)</f>
        <v>27</v>
      </c>
      <c r="E7" s="11" t="n">
        <f aca="false">ROUND(E6*Assumptions!$B$8,0)</f>
        <v>42</v>
      </c>
      <c r="F7" s="11" t="n">
        <f aca="false">ROUND(F6*Assumptions!$B$8,0)</f>
        <v>60</v>
      </c>
      <c r="G7" s="11" t="n">
        <f aca="false">ROUND(G6*Assumptions!$B$8,0)</f>
        <v>81</v>
      </c>
      <c r="H7" s="20" t="n">
        <f aca="false">SUM(B7:G7)</f>
        <v>229</v>
      </c>
    </row>
    <row r="8" customFormat="false" ht="18" hidden="false" customHeight="true" outlineLevel="0" collapsed="false">
      <c r="A8" s="5" t="s">
        <v>42</v>
      </c>
      <c r="B8" s="11" t="n">
        <v>0</v>
      </c>
      <c r="C8" s="11" t="n">
        <f aca="false">ROUND(B9*Assumptions!$B$9,0)</f>
        <v>0</v>
      </c>
      <c r="D8" s="11" t="n">
        <f aca="false">ROUND(C9*Assumptions!$B$9,0)</f>
        <v>1</v>
      </c>
      <c r="E8" s="11" t="n">
        <f aca="false">ROUND(D9*Assumptions!$B$9,0)</f>
        <v>2</v>
      </c>
      <c r="F8" s="11" t="n">
        <f aca="false">ROUND(E9*Assumptions!$B$9,0)</f>
        <v>4</v>
      </c>
      <c r="G8" s="11" t="n">
        <f aca="false">ROUND(F9*Assumptions!$B$9,0)</f>
        <v>7</v>
      </c>
      <c r="H8" s="20" t="n">
        <f aca="false">SUM(B8:G8)</f>
        <v>14</v>
      </c>
    </row>
    <row r="9" customFormat="false" ht="18" hidden="false" customHeight="true" outlineLevel="0" collapsed="false">
      <c r="A9" s="12" t="s">
        <v>43</v>
      </c>
      <c r="B9" s="13" t="n">
        <f aca="false">B7-B8</f>
        <v>5</v>
      </c>
      <c r="C9" s="13" t="n">
        <f aca="false">B9+C7-C8</f>
        <v>19</v>
      </c>
      <c r="D9" s="13" t="n">
        <f aca="false">C9+D7-D8</f>
        <v>45</v>
      </c>
      <c r="E9" s="13" t="n">
        <f aca="false">D9+E7-E8</f>
        <v>85</v>
      </c>
      <c r="F9" s="13" t="n">
        <f aca="false">E9+F7-F8</f>
        <v>141</v>
      </c>
      <c r="G9" s="13" t="n">
        <f aca="false">F9+G7-G8</f>
        <v>215</v>
      </c>
      <c r="H9" s="14" t="n">
        <f aca="false">G9</f>
        <v>215</v>
      </c>
    </row>
    <row r="11" customFormat="false" ht="18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  <row r="12" customFormat="false" ht="18" hidden="false" customHeight="true" outlineLevel="0" collapsed="false">
      <c r="A12" s="5" t="s">
        <v>45</v>
      </c>
      <c r="B12" s="17" t="n">
        <f aca="false">B9*Assumptions!$B$7</f>
        <v>175</v>
      </c>
      <c r="C12" s="17" t="n">
        <f aca="false">C9*Assumptions!$B$7</f>
        <v>665</v>
      </c>
      <c r="D12" s="17" t="n">
        <f aca="false">D9*Assumptions!$B$7</f>
        <v>1575</v>
      </c>
      <c r="E12" s="17" t="n">
        <f aca="false">E9*Assumptions!$B$7</f>
        <v>2975</v>
      </c>
      <c r="F12" s="17" t="n">
        <f aca="false">F9*Assumptions!$B$7</f>
        <v>4935</v>
      </c>
      <c r="G12" s="17" t="n">
        <f aca="false">G9*Assumptions!$B$7</f>
        <v>7525</v>
      </c>
      <c r="H12" s="18" t="n">
        <f aca="false">SUM(B12:G12)</f>
        <v>17850</v>
      </c>
    </row>
    <row r="13" customFormat="false" ht="18" hidden="false" customHeight="true" outlineLevel="0" collapsed="false">
      <c r="A13" s="21" t="s">
        <v>46</v>
      </c>
      <c r="B13" s="22" t="n">
        <f aca="false">-B12*0.035</f>
        <v>-6.125</v>
      </c>
      <c r="C13" s="22" t="n">
        <f aca="false">-C12*0.035</f>
        <v>-23.275</v>
      </c>
      <c r="D13" s="22" t="n">
        <f aca="false">-D12*0.035</f>
        <v>-55.125</v>
      </c>
      <c r="E13" s="22" t="n">
        <f aca="false">-E12*0.035</f>
        <v>-104.125</v>
      </c>
      <c r="F13" s="22" t="n">
        <f aca="false">-F12*0.035</f>
        <v>-172.725</v>
      </c>
      <c r="G13" s="22" t="n">
        <f aca="false">-G12*0.035</f>
        <v>-263.375</v>
      </c>
    </row>
    <row r="14" customFormat="false" ht="18" hidden="false" customHeight="true" outlineLevel="0" collapsed="false">
      <c r="A14" s="12" t="s">
        <v>47</v>
      </c>
      <c r="B14" s="23" t="n">
        <f aca="false">B12+B13</f>
        <v>168.875</v>
      </c>
      <c r="C14" s="23" t="n">
        <f aca="false">C12+C13</f>
        <v>641.725</v>
      </c>
      <c r="D14" s="23" t="n">
        <f aca="false">D12+D13</f>
        <v>1519.875</v>
      </c>
      <c r="E14" s="23" t="n">
        <f aca="false">E12+E13</f>
        <v>2870.875</v>
      </c>
      <c r="F14" s="23" t="n">
        <f aca="false">F12+F13</f>
        <v>4762.275</v>
      </c>
      <c r="G14" s="23" t="n">
        <f aca="false">G12+G13</f>
        <v>7261.625</v>
      </c>
      <c r="H14" s="23" t="n">
        <f aca="false">SUM(B14:G14)</f>
        <v>17225.25</v>
      </c>
    </row>
    <row r="16" customFormat="false" ht="18" hidden="false" customHeight="true" outlineLevel="0" collapsed="false">
      <c r="A16" s="4" t="s">
        <v>48</v>
      </c>
      <c r="B16" s="4"/>
      <c r="C16" s="4"/>
      <c r="D16" s="4"/>
      <c r="E16" s="4"/>
      <c r="F16" s="4"/>
      <c r="G16" s="4"/>
      <c r="H16" s="4"/>
    </row>
    <row r="17" customFormat="false" ht="18" hidden="false" customHeight="true" outlineLevel="0" collapsed="false">
      <c r="A17" s="5" t="s">
        <v>49</v>
      </c>
      <c r="B17" s="24" t="n">
        <f aca="false">Assumptions!B24</f>
        <v>688</v>
      </c>
      <c r="C17" s="24" t="n">
        <f aca="false">Assumptions!C24</f>
        <v>1376</v>
      </c>
      <c r="D17" s="24" t="n">
        <f aca="false">Assumptions!D24</f>
        <v>1548</v>
      </c>
      <c r="E17" s="24" t="n">
        <f aca="false">Assumptions!E24</f>
        <v>1376</v>
      </c>
      <c r="F17" s="24" t="n">
        <f aca="false">Assumptions!F24</f>
        <v>1032</v>
      </c>
      <c r="G17" s="24" t="n">
        <f aca="false">Assumptions!G24</f>
        <v>860</v>
      </c>
      <c r="H17" s="18" t="n">
        <f aca="false">SUM(B17:G17)</f>
        <v>6880</v>
      </c>
    </row>
    <row r="18" customFormat="false" ht="18" hidden="false" customHeight="true" outlineLevel="0" collapsed="false">
      <c r="A18" s="5" t="s">
        <v>50</v>
      </c>
      <c r="B18" s="24" t="n">
        <f aca="false">Assumptions!B25</f>
        <v>100</v>
      </c>
      <c r="C18" s="24" t="n">
        <f aca="false">Assumptions!C25</f>
        <v>200</v>
      </c>
      <c r="D18" s="24" t="n">
        <f aca="false">Assumptions!D25</f>
        <v>300</v>
      </c>
      <c r="E18" s="24" t="n">
        <f aca="false">Assumptions!E25</f>
        <v>400</v>
      </c>
      <c r="F18" s="24" t="n">
        <f aca="false">Assumptions!F25</f>
        <v>500</v>
      </c>
      <c r="G18" s="24" t="n">
        <f aca="false">Assumptions!G25</f>
        <v>500</v>
      </c>
      <c r="H18" s="18" t="n">
        <f aca="false">SUM(B18:G18)</f>
        <v>2000</v>
      </c>
    </row>
    <row r="19" customFormat="false" ht="18" hidden="false" customHeight="true" outlineLevel="0" collapsed="false">
      <c r="A19" s="5" t="s">
        <v>51</v>
      </c>
      <c r="B19" s="24" t="n">
        <f aca="false">Assumptions!B26</f>
        <v>300</v>
      </c>
      <c r="C19" s="24" t="n">
        <f aca="false">Assumptions!C26</f>
        <v>0</v>
      </c>
      <c r="D19" s="24" t="n">
        <f aca="false">Assumptions!D26</f>
        <v>50</v>
      </c>
      <c r="E19" s="24" t="n">
        <f aca="false">Assumptions!E26</f>
        <v>0</v>
      </c>
      <c r="F19" s="24" t="n">
        <f aca="false">Assumptions!F26</f>
        <v>0</v>
      </c>
      <c r="G19" s="24" t="n">
        <f aca="false">Assumptions!G26</f>
        <v>0</v>
      </c>
      <c r="H19" s="18" t="n">
        <f aca="false">SUM(B19:G19)</f>
        <v>350</v>
      </c>
    </row>
    <row r="20" customFormat="false" ht="18" hidden="false" customHeight="true" outlineLevel="0" collapsed="false">
      <c r="A20" s="5" t="s">
        <v>52</v>
      </c>
      <c r="B20" s="24" t="n">
        <f aca="false">Assumptions!B27</f>
        <v>47</v>
      </c>
      <c r="C20" s="24" t="n">
        <f aca="false">Assumptions!C27</f>
        <v>13</v>
      </c>
      <c r="D20" s="24" t="n">
        <f aca="false">Assumptions!D27</f>
        <v>13</v>
      </c>
      <c r="E20" s="24" t="n">
        <f aca="false">Assumptions!E27</f>
        <v>13</v>
      </c>
      <c r="F20" s="24" t="n">
        <f aca="false">Assumptions!F27</f>
        <v>13</v>
      </c>
      <c r="G20" s="24" t="n">
        <f aca="false">Assumptions!G27</f>
        <v>13</v>
      </c>
      <c r="H20" s="18" t="n">
        <f aca="false">SUM(B20:G20)</f>
        <v>112</v>
      </c>
    </row>
    <row r="21" customFormat="false" ht="18" hidden="false" customHeight="true" outlineLevel="0" collapsed="false">
      <c r="A21" s="12" t="s">
        <v>53</v>
      </c>
      <c r="B21" s="25" t="n">
        <f aca="false">B17+B18+B19+B20</f>
        <v>1135</v>
      </c>
      <c r="C21" s="25" t="n">
        <f aca="false">C17+C18+C19+C20</f>
        <v>1589</v>
      </c>
      <c r="D21" s="25" t="n">
        <f aca="false">D17+D18+D19+D20</f>
        <v>1911</v>
      </c>
      <c r="E21" s="25" t="n">
        <f aca="false">E17+E18+E19+E20</f>
        <v>1789</v>
      </c>
      <c r="F21" s="25" t="n">
        <f aca="false">F17+F18+F19+F20</f>
        <v>1545</v>
      </c>
      <c r="G21" s="25" t="n">
        <f aca="false">G17+G18+G19+G20</f>
        <v>1373</v>
      </c>
      <c r="H21" s="25" t="n">
        <f aca="false">SUM(B21:G21)</f>
        <v>9342</v>
      </c>
    </row>
    <row r="23" customFormat="false" ht="18" hidden="false" customHeight="true" outlineLevel="0" collapsed="false">
      <c r="A23" s="4" t="s">
        <v>54</v>
      </c>
      <c r="B23" s="4"/>
      <c r="C23" s="4"/>
      <c r="D23" s="4"/>
      <c r="E23" s="4"/>
      <c r="F23" s="4"/>
      <c r="G23" s="4"/>
      <c r="H23" s="4"/>
    </row>
    <row r="24" customFormat="false" ht="18" hidden="false" customHeight="true" outlineLevel="0" collapsed="false">
      <c r="A24" s="5" t="s">
        <v>55</v>
      </c>
      <c r="B24" s="26" t="n">
        <f aca="false">B14-B21</f>
        <v>-966.125</v>
      </c>
      <c r="C24" s="26" t="n">
        <f aca="false">C14-C21</f>
        <v>-947.275</v>
      </c>
      <c r="D24" s="26" t="n">
        <f aca="false">D14-D21</f>
        <v>-391.125</v>
      </c>
      <c r="E24" s="26" t="n">
        <f aca="false">E14-E21</f>
        <v>1081.875</v>
      </c>
      <c r="F24" s="26" t="n">
        <f aca="false">F14-F21</f>
        <v>3217.275</v>
      </c>
      <c r="G24" s="26" t="n">
        <f aca="false">G14-G21</f>
        <v>5888.625</v>
      </c>
      <c r="H24" s="26" t="n">
        <f aca="false">SUM(B24:G24)</f>
        <v>7883.25</v>
      </c>
    </row>
    <row r="25" customFormat="false" ht="18" hidden="false" customHeight="true" outlineLevel="0" collapsed="false">
      <c r="A25" s="5" t="s">
        <v>56</v>
      </c>
      <c r="B25" s="26" t="n">
        <f aca="false">B24</f>
        <v>-966.125</v>
      </c>
      <c r="C25" s="26" t="n">
        <f aca="false">B25+C24</f>
        <v>-1913.4</v>
      </c>
      <c r="D25" s="26" t="n">
        <f aca="false">C25+D24</f>
        <v>-2304.525</v>
      </c>
      <c r="E25" s="26" t="n">
        <f aca="false">D25+E24</f>
        <v>-1222.65</v>
      </c>
      <c r="F25" s="26" t="n">
        <f aca="false">E25+F24</f>
        <v>1994.625</v>
      </c>
      <c r="G25" s="26" t="n">
        <f aca="false">F25+G24</f>
        <v>7883.25</v>
      </c>
      <c r="H25" s="26" t="n">
        <f aca="false">G25</f>
        <v>7883.25</v>
      </c>
    </row>
    <row r="27" customFormat="false" ht="18" hidden="false" customHeight="true" outlineLevel="0" collapsed="false">
      <c r="A27" s="4" t="s">
        <v>57</v>
      </c>
      <c r="B27" s="4"/>
      <c r="C27" s="4"/>
      <c r="D27" s="4"/>
      <c r="E27" s="4"/>
      <c r="F27" s="4"/>
      <c r="G27" s="4"/>
      <c r="H27" s="4"/>
    </row>
    <row r="28" customFormat="false" ht="18" hidden="false" customHeight="true" outlineLevel="0" collapsed="false">
      <c r="A28" s="5" t="s">
        <v>58</v>
      </c>
      <c r="B28" s="17" t="n">
        <f aca="false">B12</f>
        <v>175</v>
      </c>
      <c r="C28" s="17" t="n">
        <f aca="false">C12</f>
        <v>665</v>
      </c>
      <c r="D28" s="17" t="n">
        <f aca="false">D12</f>
        <v>1575</v>
      </c>
      <c r="E28" s="17" t="n">
        <f aca="false">E12</f>
        <v>2975</v>
      </c>
      <c r="F28" s="17" t="n">
        <f aca="false">F12</f>
        <v>4935</v>
      </c>
      <c r="G28" s="17" t="n">
        <f aca="false">G12</f>
        <v>7525</v>
      </c>
    </row>
    <row r="29" customFormat="false" ht="18" hidden="false" customHeight="true" outlineLevel="0" collapsed="false">
      <c r="A29" s="5" t="s">
        <v>59</v>
      </c>
      <c r="B29" s="17" t="n">
        <f aca="false">IFERROR(B17/Assumptions!B13,0)</f>
        <v>27.52</v>
      </c>
      <c r="C29" s="17" t="n">
        <f aca="false">IFERROR(C17/Assumptions!C13,0)</f>
        <v>34.4</v>
      </c>
      <c r="D29" s="17" t="n">
        <f aca="false">IFERROR(D17/Assumptions!D13,0)</f>
        <v>34.4</v>
      </c>
      <c r="E29" s="17" t="n">
        <f aca="false">IFERROR(E17/Assumptions!E13,0)</f>
        <v>34.4</v>
      </c>
      <c r="F29" s="17" t="n">
        <f aca="false">IFERROR(F17/Assumptions!F13,0)</f>
        <v>34.4</v>
      </c>
      <c r="G29" s="17" t="n">
        <f aca="false">IFERROR(G17/Assumptions!G13,0)</f>
        <v>34.4</v>
      </c>
    </row>
    <row r="30" customFormat="false" ht="18" hidden="false" customHeight="true" outlineLevel="0" collapsed="false">
      <c r="A30" s="5" t="s">
        <v>60</v>
      </c>
      <c r="B30" s="17" t="n">
        <f aca="false">IFERROR(B18/Assumptions!B14,0)</f>
        <v>12.5</v>
      </c>
      <c r="C30" s="17" t="n">
        <f aca="false">IFERROR(C18/Assumptions!C14,0)</f>
        <v>10</v>
      </c>
      <c r="D30" s="17" t="n">
        <f aca="false">IFERROR(D18/Assumptions!D14,0)</f>
        <v>8.57142857142857</v>
      </c>
      <c r="E30" s="17" t="n">
        <f aca="false">IFERROR(E18/Assumptions!E14,0)</f>
        <v>8</v>
      </c>
      <c r="F30" s="17" t="n">
        <f aca="false">IFERROR(F18/Assumptions!F14,0)</f>
        <v>7.69230769230769</v>
      </c>
      <c r="G30" s="17" t="n">
        <f aca="false">IFERROR(G18/Assumptions!G14,0)</f>
        <v>6.25</v>
      </c>
    </row>
    <row r="31" customFormat="false" ht="18" hidden="false" customHeight="true" outlineLevel="0" collapsed="false">
      <c r="A31" s="5" t="s">
        <v>61</v>
      </c>
      <c r="B31" s="17" t="n">
        <f aca="false">Assumptions!$B$7/Assumptions!$B$9</f>
        <v>700</v>
      </c>
    </row>
    <row r="32" customFormat="false" ht="18" hidden="false" customHeight="true" outlineLevel="0" collapsed="false">
      <c r="A32" s="5" t="s">
        <v>62</v>
      </c>
      <c r="B32" s="27" t="n">
        <f aca="false">IFERROR(B31/(((B17+B18)/(Assumptions!B13+Assumptions!B14))),0)</f>
        <v>29.3147208121827</v>
      </c>
      <c r="C32" s="27" t="n">
        <f aca="false">IFERROR(C31/(((C17+C18)/(Assumptions!C13+Assumptions!C14))),0)</f>
        <v>0</v>
      </c>
      <c r="D32" s="27" t="n">
        <f aca="false">IFERROR(D31/(((D17+D18)/(Assumptions!D13+Assumptions!D14))),0)</f>
        <v>0</v>
      </c>
      <c r="E32" s="27" t="n">
        <f aca="false">IFERROR(E31/(((E17+E18)/(Assumptions!E13+Assumptions!E14))),0)</f>
        <v>0</v>
      </c>
      <c r="F32" s="27" t="n">
        <f aca="false">IFERROR(F31/(((F17+F18)/(Assumptions!F13+Assumptions!F14))),0)</f>
        <v>0</v>
      </c>
      <c r="G32" s="27" t="n">
        <f aca="false">IFERROR(G31/(((G17+G18)/(Assumptions!G13+Assumptions!G14))),0)</f>
        <v>0</v>
      </c>
    </row>
    <row r="33" customFormat="false" ht="18" hidden="false" customHeight="true" outlineLevel="0" collapsed="false">
      <c r="A33" s="5" t="s">
        <v>63</v>
      </c>
      <c r="B33" s="17" t="n">
        <f aca="false">B21</f>
        <v>1135</v>
      </c>
      <c r="C33" s="17" t="n">
        <f aca="false">C21</f>
        <v>1589</v>
      </c>
      <c r="D33" s="17" t="n">
        <f aca="false">D21</f>
        <v>1911</v>
      </c>
      <c r="E33" s="17" t="n">
        <f aca="false">E21</f>
        <v>1789</v>
      </c>
      <c r="F33" s="17" t="n">
        <f aca="false">F21</f>
        <v>1545</v>
      </c>
      <c r="G33" s="17" t="n">
        <f aca="false">G21</f>
        <v>1373</v>
      </c>
    </row>
  </sheetData>
  <mergeCells count="5">
    <mergeCell ref="A4:H4"/>
    <mergeCell ref="A11:H11"/>
    <mergeCell ref="A16:H16"/>
    <mergeCell ref="A23:H23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F43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19.5" hidden="false" customHeight="true" outlineLevel="0" collapsed="false">
      <c r="A1" s="2" t="s">
        <v>64</v>
      </c>
    </row>
    <row r="3" customFormat="false" ht="18" hidden="false" customHeight="true" outlineLevel="0" collapsed="false">
      <c r="A3" s="10"/>
      <c r="B3" s="10" t="s">
        <v>65</v>
      </c>
      <c r="C3" s="10" t="s">
        <v>66</v>
      </c>
      <c r="D3" s="10" t="s">
        <v>67</v>
      </c>
    </row>
    <row r="4" customFormat="false" ht="18" hidden="false" customHeight="true" outlineLevel="0" collapsed="false">
      <c r="A4" s="5" t="s">
        <v>68</v>
      </c>
      <c r="B4" s="6" t="n">
        <v>350</v>
      </c>
      <c r="C4" s="6" t="n">
        <v>580</v>
      </c>
      <c r="D4" s="6" t="n">
        <v>850</v>
      </c>
    </row>
    <row r="5" customFormat="false" ht="18" hidden="false" customHeight="true" outlineLevel="0" collapsed="false">
      <c r="A5" s="5" t="s">
        <v>69</v>
      </c>
      <c r="B5" s="9" t="n">
        <v>0.1</v>
      </c>
      <c r="C5" s="9" t="n">
        <v>0.14</v>
      </c>
      <c r="D5" s="9" t="n">
        <v>0.2</v>
      </c>
    </row>
    <row r="6" customFormat="false" ht="18" hidden="false" customHeight="true" outlineLevel="0" collapsed="false">
      <c r="A6" s="5" t="s">
        <v>70</v>
      </c>
      <c r="B6" s="8" t="n">
        <v>29</v>
      </c>
      <c r="C6" s="8" t="n">
        <v>35</v>
      </c>
      <c r="D6" s="8" t="n">
        <v>42</v>
      </c>
    </row>
    <row r="7" customFormat="false" ht="18" hidden="false" customHeight="true" outlineLevel="0" collapsed="false">
      <c r="A7" s="5" t="s">
        <v>71</v>
      </c>
      <c r="B7" s="9" t="n">
        <v>0.07</v>
      </c>
      <c r="C7" s="9" t="n">
        <v>0.05</v>
      </c>
      <c r="D7" s="9" t="n">
        <v>0.03</v>
      </c>
    </row>
    <row r="8" customFormat="false" ht="18" hidden="false" customHeight="true" outlineLevel="0" collapsed="false">
      <c r="A8" s="5"/>
      <c r="B8" s="28"/>
      <c r="C8" s="28"/>
      <c r="D8" s="28"/>
    </row>
    <row r="9" customFormat="false" ht="18" hidden="false" customHeight="true" outlineLevel="0" collapsed="false">
      <c r="A9" s="5" t="s">
        <v>72</v>
      </c>
      <c r="B9" s="11" t="n">
        <f aca="false">ROUND(B4*B5,0)</f>
        <v>35</v>
      </c>
      <c r="C9" s="11" t="n">
        <f aca="false">ROUND(C4*C5,0)</f>
        <v>81</v>
      </c>
      <c r="D9" s="11" t="n">
        <f aca="false">ROUND(D4*D5,0)</f>
        <v>170</v>
      </c>
    </row>
    <row r="10" customFormat="false" ht="18" hidden="false" customHeight="true" outlineLevel="0" collapsed="false">
      <c r="A10" s="5" t="s">
        <v>73</v>
      </c>
      <c r="B10" s="17" t="n">
        <f aca="false">B9*B6</f>
        <v>1015</v>
      </c>
      <c r="C10" s="17" t="n">
        <f aca="false">C9*C6</f>
        <v>2835</v>
      </c>
      <c r="D10" s="17" t="n">
        <f aca="false">D9*D6</f>
        <v>7140</v>
      </c>
    </row>
    <row r="11" customFormat="false" ht="18" hidden="false" customHeight="true" outlineLevel="0" collapsed="false">
      <c r="A11" s="5" t="s">
        <v>74</v>
      </c>
      <c r="B11" s="17" t="n">
        <f aca="false">B10*3.5</f>
        <v>3552.5</v>
      </c>
      <c r="C11" s="17" t="n">
        <f aca="false">C10*3.5</f>
        <v>9922.5</v>
      </c>
      <c r="D11" s="17" t="n">
        <f aca="false">D10*3.5</f>
        <v>24990</v>
      </c>
    </row>
    <row r="12" customFormat="false" ht="18" hidden="false" customHeight="true" outlineLevel="0" collapsed="false">
      <c r="A12" s="5"/>
      <c r="B12" s="28"/>
      <c r="C12" s="28"/>
      <c r="D12" s="28"/>
    </row>
    <row r="13" customFormat="false" ht="18" hidden="false" customHeight="true" outlineLevel="0" collapsed="false">
      <c r="A13" s="5" t="s">
        <v>75</v>
      </c>
      <c r="B13" s="8" t="n">
        <v>9342</v>
      </c>
      <c r="C13" s="8" t="n">
        <v>9342</v>
      </c>
      <c r="D13" s="8" t="n">
        <v>9342</v>
      </c>
    </row>
    <row r="14" customFormat="false" ht="18" hidden="false" customHeight="true" outlineLevel="0" collapsed="false">
      <c r="A14" s="5"/>
      <c r="B14" s="28"/>
      <c r="C14" s="28"/>
      <c r="D14" s="28"/>
    </row>
    <row r="15" customFormat="false" ht="18" hidden="false" customHeight="true" outlineLevel="0" collapsed="false">
      <c r="A15" s="29" t="s">
        <v>76</v>
      </c>
      <c r="B15" s="30" t="n">
        <f aca="false">B11-B13</f>
        <v>-5789.5</v>
      </c>
      <c r="C15" s="30" t="n">
        <f aca="false">C11-C13</f>
        <v>580.5</v>
      </c>
      <c r="D15" s="30" t="n">
        <f aca="false">D11-D13</f>
        <v>15648</v>
      </c>
    </row>
    <row r="16" customFormat="false" ht="18" hidden="false" customHeight="true" outlineLevel="0" collapsed="false">
      <c r="A16" s="31" t="s">
        <v>77</v>
      </c>
      <c r="B16" s="32" t="n">
        <f aca="false">IFERROR(ROUND((10000+B13)/(B10*0.965),1),"N/A")</f>
        <v>19.7</v>
      </c>
      <c r="C16" s="32" t="n">
        <f aca="false">IFERROR(ROUND((10000+C13)/(C10*0.965),1),"N/A")</f>
        <v>7.1</v>
      </c>
      <c r="D16" s="32" t="n">
        <f aca="false">IFERROR(ROUND((10000+D13)/(D10*0.965),1),"N/A")</f>
        <v>2.8</v>
      </c>
    </row>
    <row r="19" customFormat="false" ht="18" hidden="false" customHeight="true" outlineLevel="0" collapsed="false">
      <c r="A19" s="4" t="s">
        <v>78</v>
      </c>
      <c r="B19" s="4"/>
      <c r="C19" s="4"/>
      <c r="D19" s="4"/>
    </row>
    <row r="20" customFormat="false" ht="18" hidden="false" customHeight="true" outlineLevel="0" collapsed="false">
      <c r="A20" s="33" t="s">
        <v>79</v>
      </c>
      <c r="B20" s="33"/>
      <c r="C20" s="33"/>
      <c r="D20" s="33"/>
    </row>
    <row r="21" customFormat="false" ht="18" hidden="false" customHeight="true" outlineLevel="0" collapsed="false">
      <c r="A21" s="33" t="s">
        <v>80</v>
      </c>
      <c r="B21" s="33"/>
      <c r="C21" s="33"/>
      <c r="D21" s="33"/>
    </row>
    <row r="22" customFormat="false" ht="18" hidden="false" customHeight="true" outlineLevel="0" collapsed="false">
      <c r="A22" s="33" t="s">
        <v>81</v>
      </c>
      <c r="B22" s="33"/>
      <c r="C22" s="33"/>
      <c r="D22" s="33"/>
    </row>
    <row r="23" customFormat="false" ht="18" hidden="false" customHeight="true" outlineLevel="0" collapsed="false">
      <c r="A23" s="33" t="s">
        <v>82</v>
      </c>
      <c r="B23" s="33"/>
      <c r="C23" s="33"/>
      <c r="D23" s="33"/>
    </row>
    <row r="24" customFormat="false" ht="18" hidden="false" customHeight="true" outlineLevel="0" collapsed="false">
      <c r="A24" s="33" t="s">
        <v>83</v>
      </c>
      <c r="B24" s="33"/>
      <c r="C24" s="33"/>
      <c r="D24" s="33"/>
    </row>
    <row r="25" customFormat="false" ht="18" hidden="false" customHeight="true" outlineLevel="0" collapsed="false">
      <c r="A25" s="33" t="s">
        <v>84</v>
      </c>
      <c r="B25" s="33"/>
      <c r="C25" s="33"/>
      <c r="D25" s="33"/>
    </row>
  </sheetData>
  <mergeCells count="7">
    <mergeCell ref="A19:D19"/>
    <mergeCell ref="A20:D20"/>
    <mergeCell ref="A21:D21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8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  <col collapsed="false" customWidth="true" hidden="false" outlineLevel="0" max="8" min="8" style="1" width="16"/>
    <col collapsed="false" customWidth="true" hidden="false" outlineLevel="0" max="9" min="9" style="1" width="2"/>
  </cols>
  <sheetData>
    <row r="1" customFormat="false" ht="19.5" hidden="false" customHeight="true" outlineLevel="0" collapsed="false">
      <c r="A1" s="2" t="s">
        <v>85</v>
      </c>
    </row>
    <row r="3" customFormat="false" ht="18" hidden="false" customHeight="true" outlineLevel="0" collapsed="false">
      <c r="A3" s="10"/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16</v>
      </c>
    </row>
    <row r="4" customFormat="false" ht="18" hidden="false" customHeight="true" outlineLevel="0" collapsed="false">
      <c r="A4" s="4" t="s">
        <v>86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34" t="s">
        <v>87</v>
      </c>
      <c r="B5" s="8" t="n">
        <v>50</v>
      </c>
      <c r="C5" s="8" t="n">
        <v>100</v>
      </c>
      <c r="D5" s="8" t="n">
        <v>175</v>
      </c>
      <c r="E5" s="8" t="n">
        <v>250</v>
      </c>
      <c r="F5" s="8" t="n">
        <v>325</v>
      </c>
      <c r="G5" s="8" t="n">
        <v>325</v>
      </c>
      <c r="H5" s="35" t="n">
        <f aca="false">SUM(B5:G5)</f>
        <v>1225</v>
      </c>
    </row>
    <row r="6" customFormat="false" ht="18" hidden="false" customHeight="true" outlineLevel="0" collapsed="false">
      <c r="A6" s="34" t="s">
        <v>88</v>
      </c>
      <c r="B6" s="36" t="n">
        <v>5</v>
      </c>
      <c r="C6" s="36" t="n">
        <v>4.5</v>
      </c>
      <c r="D6" s="36" t="n">
        <v>4</v>
      </c>
      <c r="E6" s="36" t="n">
        <v>3.5</v>
      </c>
      <c r="F6" s="36" t="n">
        <v>3.5</v>
      </c>
      <c r="G6" s="36" t="n">
        <v>3.5</v>
      </c>
    </row>
    <row r="7" customFormat="false" ht="18" hidden="false" customHeight="true" outlineLevel="0" collapsed="false">
      <c r="A7" s="5" t="s">
        <v>89</v>
      </c>
      <c r="B7" s="11" t="n">
        <f aca="false">ROUND(B5/B6*1000,0)</f>
        <v>10000</v>
      </c>
      <c r="C7" s="11" t="n">
        <f aca="false">ROUND(C5/C6*1000,0)</f>
        <v>22222</v>
      </c>
      <c r="D7" s="11" t="n">
        <f aca="false">ROUND(D5/D6*1000,0)</f>
        <v>43750</v>
      </c>
      <c r="E7" s="11" t="n">
        <f aca="false">ROUND(E5/E6*1000,0)</f>
        <v>71429</v>
      </c>
      <c r="F7" s="11" t="n">
        <f aca="false">ROUND(F5/F6*1000,0)</f>
        <v>92857</v>
      </c>
      <c r="G7" s="11" t="n">
        <f aca="false">ROUND(G5/G6*1000,0)</f>
        <v>92857</v>
      </c>
      <c r="H7" s="37" t="n">
        <f aca="false">SUM(B7:G7)</f>
        <v>333115</v>
      </c>
    </row>
    <row r="8" customFormat="false" ht="18" hidden="false" customHeight="true" outlineLevel="0" collapsed="false">
      <c r="A8" s="34" t="s">
        <v>90</v>
      </c>
      <c r="B8" s="9" t="n">
        <v>0.015</v>
      </c>
      <c r="C8" s="9" t="n">
        <v>0.018</v>
      </c>
      <c r="D8" s="9" t="n">
        <v>0.02</v>
      </c>
      <c r="E8" s="9" t="n">
        <v>0.022</v>
      </c>
      <c r="F8" s="9" t="n">
        <v>0.025</v>
      </c>
      <c r="G8" s="9" t="n">
        <v>0.025</v>
      </c>
    </row>
    <row r="9" customFormat="false" ht="18" hidden="false" customHeight="true" outlineLevel="0" collapsed="false">
      <c r="A9" s="5" t="s">
        <v>91</v>
      </c>
      <c r="B9" s="11" t="n">
        <f aca="false">ROUND(B7*B8,0)</f>
        <v>150</v>
      </c>
      <c r="C9" s="11" t="n">
        <f aca="false">ROUND(C7*C8,0)</f>
        <v>400</v>
      </c>
      <c r="D9" s="11" t="n">
        <f aca="false">ROUND(D7*D8,0)</f>
        <v>875</v>
      </c>
      <c r="E9" s="11" t="n">
        <f aca="false">ROUND(E7*E8,0)</f>
        <v>1571</v>
      </c>
      <c r="F9" s="11" t="n">
        <f aca="false">ROUND(F7*F8,0)</f>
        <v>2321</v>
      </c>
      <c r="G9" s="11" t="n">
        <f aca="false">ROUND(G7*G8,0)</f>
        <v>2321</v>
      </c>
      <c r="H9" s="37" t="n">
        <f aca="false">SUM(B9:G9)</f>
        <v>7638</v>
      </c>
    </row>
    <row r="10" customFormat="false" ht="18" hidden="false" customHeight="true" outlineLevel="0" collapsed="false">
      <c r="A10" s="5" t="s">
        <v>92</v>
      </c>
      <c r="B10" s="9" t="n">
        <v>0.08</v>
      </c>
      <c r="C10" s="9" t="n">
        <v>0.1</v>
      </c>
      <c r="D10" s="9" t="n">
        <v>0.12</v>
      </c>
      <c r="E10" s="9" t="n">
        <v>0.13</v>
      </c>
      <c r="F10" s="9" t="n">
        <v>0.14</v>
      </c>
      <c r="G10" s="9" t="n">
        <v>0.15</v>
      </c>
    </row>
    <row r="11" customFormat="false" ht="18" hidden="false" customHeight="true" outlineLevel="0" collapsed="false">
      <c r="A11" s="5" t="s">
        <v>93</v>
      </c>
      <c r="B11" s="11" t="n">
        <f aca="false">ROUND(B9*B10,0)</f>
        <v>12</v>
      </c>
      <c r="C11" s="11" t="n">
        <f aca="false">ROUND(C9*C10,0)</f>
        <v>40</v>
      </c>
      <c r="D11" s="11" t="n">
        <f aca="false">ROUND(D9*D10,0)</f>
        <v>105</v>
      </c>
      <c r="E11" s="11" t="n">
        <f aca="false">ROUND(E9*E10,0)</f>
        <v>204</v>
      </c>
      <c r="F11" s="11" t="n">
        <f aca="false">ROUND(F9*F10,0)</f>
        <v>325</v>
      </c>
      <c r="G11" s="11" t="n">
        <f aca="false">ROUND(G9*G10,0)</f>
        <v>348</v>
      </c>
      <c r="H11" s="37" t="n">
        <f aca="false">SUM(B11:G11)</f>
        <v>1034</v>
      </c>
    </row>
    <row r="12" customFormat="false" ht="18" hidden="false" customHeight="true" outlineLevel="0" collapsed="false">
      <c r="A12" s="12" t="s">
        <v>94</v>
      </c>
      <c r="B12" s="38" t="n">
        <f aca="false">IFERROR(B5/B11,0)</f>
        <v>4.16666666666667</v>
      </c>
      <c r="C12" s="38" t="n">
        <f aca="false">IFERROR(C5/C11,0)</f>
        <v>2.5</v>
      </c>
      <c r="D12" s="38" t="n">
        <f aca="false">IFERROR(D5/D11,0)</f>
        <v>1.66666666666667</v>
      </c>
      <c r="E12" s="38" t="n">
        <f aca="false">IFERROR(E5/E11,0)</f>
        <v>1.22549019607843</v>
      </c>
      <c r="F12" s="38" t="n">
        <f aca="false">IFERROR(F5/F11,0)</f>
        <v>1</v>
      </c>
      <c r="G12" s="38" t="n">
        <f aca="false">IFERROR(G5/G11,0)</f>
        <v>0.933908045977012</v>
      </c>
      <c r="H12" s="39"/>
    </row>
    <row r="14" customFormat="false" ht="18" hidden="false" customHeight="true" outlineLevel="0" collapsed="false">
      <c r="A14" s="4" t="s">
        <v>95</v>
      </c>
      <c r="B14" s="4"/>
      <c r="C14" s="4"/>
      <c r="D14" s="4"/>
      <c r="E14" s="4"/>
      <c r="F14" s="4"/>
      <c r="G14" s="4"/>
      <c r="H14" s="4"/>
    </row>
    <row r="15" customFormat="false" ht="18" hidden="false" customHeight="true" outlineLevel="0" collapsed="false">
      <c r="A15" s="34" t="s">
        <v>87</v>
      </c>
      <c r="B15" s="8" t="n">
        <v>50</v>
      </c>
      <c r="C15" s="8" t="n">
        <v>125</v>
      </c>
      <c r="D15" s="8" t="n">
        <v>150</v>
      </c>
      <c r="E15" s="8" t="n">
        <v>175</v>
      </c>
      <c r="F15" s="8" t="n">
        <v>175</v>
      </c>
      <c r="G15" s="8" t="n">
        <v>175</v>
      </c>
      <c r="H15" s="35" t="n">
        <f aca="false">SUM(B15:G15)</f>
        <v>850</v>
      </c>
    </row>
    <row r="16" customFormat="false" ht="18" hidden="false" customHeight="true" outlineLevel="0" collapsed="false">
      <c r="A16" s="34" t="s">
        <v>96</v>
      </c>
      <c r="B16" s="36" t="n">
        <v>2</v>
      </c>
      <c r="C16" s="36" t="n">
        <v>1.8</v>
      </c>
      <c r="D16" s="36" t="n">
        <v>1.5</v>
      </c>
      <c r="E16" s="36" t="n">
        <v>1.5</v>
      </c>
      <c r="F16" s="36" t="n">
        <v>1.4</v>
      </c>
      <c r="G16" s="36" t="n">
        <v>1.4</v>
      </c>
    </row>
    <row r="17" customFormat="false" ht="18" hidden="false" customHeight="true" outlineLevel="0" collapsed="false">
      <c r="A17" s="5" t="s">
        <v>91</v>
      </c>
      <c r="B17" s="11" t="n">
        <v>35</v>
      </c>
      <c r="C17" s="11" t="n">
        <v>70</v>
      </c>
      <c r="D17" s="11" t="n">
        <v>85</v>
      </c>
      <c r="E17" s="11" t="n">
        <v>100</v>
      </c>
      <c r="F17" s="11" t="n">
        <v>115</v>
      </c>
      <c r="G17" s="11" t="n">
        <v>115</v>
      </c>
      <c r="H17" s="37" t="n">
        <f aca="false">SUM(B17:G17)</f>
        <v>520</v>
      </c>
    </row>
    <row r="18" customFormat="false" ht="18" hidden="false" customHeight="true" outlineLevel="0" collapsed="false">
      <c r="A18" s="34" t="s">
        <v>92</v>
      </c>
      <c r="B18" s="9" t="n">
        <v>0.12</v>
      </c>
      <c r="C18" s="9" t="n">
        <v>0.14</v>
      </c>
      <c r="D18" s="9" t="n">
        <v>0.16</v>
      </c>
      <c r="E18" s="9" t="n">
        <v>0.17</v>
      </c>
      <c r="F18" s="9" t="n">
        <v>0.18</v>
      </c>
      <c r="G18" s="9" t="n">
        <v>0.18</v>
      </c>
    </row>
    <row r="19" customFormat="false" ht="18" hidden="false" customHeight="true" outlineLevel="0" collapsed="false">
      <c r="A19" s="5" t="s">
        <v>97</v>
      </c>
      <c r="B19" s="11" t="n">
        <f aca="false">ROUND(B17*B18,0)</f>
        <v>4</v>
      </c>
      <c r="C19" s="11" t="n">
        <f aca="false">ROUND(C17*C18,0)</f>
        <v>10</v>
      </c>
      <c r="D19" s="11" t="n">
        <f aca="false">ROUND(D17*D18,0)</f>
        <v>14</v>
      </c>
      <c r="E19" s="11" t="n">
        <f aca="false">ROUND(E17*E18,0)</f>
        <v>17</v>
      </c>
      <c r="F19" s="11" t="n">
        <f aca="false">ROUND(F17*F18,0)</f>
        <v>21</v>
      </c>
      <c r="G19" s="11" t="n">
        <f aca="false">ROUND(G17*G18,0)</f>
        <v>21</v>
      </c>
      <c r="H19" s="37" t="n">
        <f aca="false">SUM(B19:G19)</f>
        <v>87</v>
      </c>
    </row>
    <row r="20" customFormat="false" ht="18" hidden="false" customHeight="true" outlineLevel="0" collapsed="false">
      <c r="A20" s="12" t="s">
        <v>98</v>
      </c>
      <c r="B20" s="38" t="n">
        <f aca="false">IFERROR(B15/B19,0)</f>
        <v>12.5</v>
      </c>
      <c r="C20" s="38" t="n">
        <f aca="false">IFERROR(C15/C19,0)</f>
        <v>12.5</v>
      </c>
      <c r="D20" s="38" t="n">
        <f aca="false">IFERROR(D15/D19,0)</f>
        <v>10.7142857142857</v>
      </c>
      <c r="E20" s="38" t="n">
        <f aca="false">IFERROR(E15/E19,0)</f>
        <v>10.2941176470588</v>
      </c>
      <c r="F20" s="38" t="n">
        <f aca="false">IFERROR(F15/F19,0)</f>
        <v>8.33333333333333</v>
      </c>
      <c r="G20" s="38" t="n">
        <f aca="false">IFERROR(G15/G19,0)</f>
        <v>8.33333333333333</v>
      </c>
      <c r="H20" s="39"/>
    </row>
    <row r="22" customFormat="false" ht="18" hidden="false" customHeight="true" outlineLevel="0" collapsed="false">
      <c r="A22" s="4" t="s">
        <v>99</v>
      </c>
      <c r="B22" s="4"/>
      <c r="C22" s="4"/>
      <c r="D22" s="4"/>
      <c r="E22" s="4"/>
      <c r="F22" s="4"/>
      <c r="G22" s="4"/>
      <c r="H22" s="4"/>
    </row>
    <row r="23" customFormat="false" ht="18" hidden="false" customHeight="true" outlineLevel="0" collapsed="false">
      <c r="A23" s="34" t="s">
        <v>87</v>
      </c>
      <c r="B23" s="8" t="n">
        <v>25</v>
      </c>
      <c r="C23" s="8" t="n">
        <v>50</v>
      </c>
      <c r="D23" s="8" t="n">
        <v>75</v>
      </c>
      <c r="E23" s="8" t="n">
        <v>75</v>
      </c>
      <c r="F23" s="8" t="n">
        <v>75</v>
      </c>
      <c r="G23" s="8" t="n">
        <v>75</v>
      </c>
      <c r="H23" s="35" t="n">
        <f aca="false">SUM(B23:G23)</f>
        <v>375</v>
      </c>
    </row>
    <row r="24" customFormat="false" ht="18" hidden="false" customHeight="true" outlineLevel="0" collapsed="false">
      <c r="A24" s="34" t="s">
        <v>88</v>
      </c>
      <c r="B24" s="36" t="n">
        <v>3</v>
      </c>
      <c r="C24" s="36" t="n">
        <v>2.5</v>
      </c>
      <c r="D24" s="36" t="n">
        <v>2.5</v>
      </c>
      <c r="E24" s="36" t="n">
        <v>2</v>
      </c>
      <c r="F24" s="36" t="n">
        <v>2</v>
      </c>
      <c r="G24" s="36" t="n">
        <v>2</v>
      </c>
    </row>
    <row r="25" customFormat="false" ht="18" hidden="false" customHeight="true" outlineLevel="0" collapsed="false">
      <c r="A25" s="5" t="s">
        <v>89</v>
      </c>
      <c r="B25" s="11" t="n">
        <f aca="false">ROUND(B23/B24*1000,0)</f>
        <v>8333</v>
      </c>
      <c r="C25" s="11" t="n">
        <f aca="false">ROUND(C23/C24*1000,0)</f>
        <v>20000</v>
      </c>
      <c r="D25" s="11" t="n">
        <f aca="false">ROUND(D23/D24*1000,0)</f>
        <v>30000</v>
      </c>
      <c r="E25" s="11" t="n">
        <f aca="false">ROUND(E23/E24*1000,0)</f>
        <v>37500</v>
      </c>
      <c r="F25" s="11" t="n">
        <f aca="false">ROUND(F23/F24*1000,0)</f>
        <v>37500</v>
      </c>
      <c r="G25" s="11" t="n">
        <f aca="false">ROUND(G23/G24*1000,0)</f>
        <v>37500</v>
      </c>
      <c r="H25" s="37" t="n">
        <f aca="false">SUM(B25:G25)</f>
        <v>170833</v>
      </c>
    </row>
    <row r="26" customFormat="false" ht="18" hidden="false" customHeight="true" outlineLevel="0" collapsed="false">
      <c r="A26" s="34" t="s">
        <v>90</v>
      </c>
      <c r="B26" s="9" t="n">
        <v>0.01</v>
      </c>
      <c r="C26" s="9" t="n">
        <v>0.015</v>
      </c>
      <c r="D26" s="9" t="n">
        <v>0.02</v>
      </c>
      <c r="E26" s="9" t="n">
        <v>0.02</v>
      </c>
      <c r="F26" s="9" t="n">
        <v>0.025</v>
      </c>
      <c r="G26" s="9" t="n">
        <v>0.025</v>
      </c>
    </row>
    <row r="27" customFormat="false" ht="18" hidden="false" customHeight="true" outlineLevel="0" collapsed="false">
      <c r="A27" s="5" t="s">
        <v>91</v>
      </c>
      <c r="B27" s="11" t="n">
        <f aca="false">ROUND(B25*B26,0)</f>
        <v>83</v>
      </c>
      <c r="C27" s="11" t="n">
        <f aca="false">ROUND(C25*C26,0)</f>
        <v>300</v>
      </c>
      <c r="D27" s="11" t="n">
        <f aca="false">ROUND(D25*D26,0)</f>
        <v>600</v>
      </c>
      <c r="E27" s="11" t="n">
        <f aca="false">ROUND(E25*E26,0)</f>
        <v>750</v>
      </c>
      <c r="F27" s="11" t="n">
        <f aca="false">ROUND(F25*F26,0)</f>
        <v>938</v>
      </c>
      <c r="G27" s="11" t="n">
        <f aca="false">ROUND(G25*G26,0)</f>
        <v>938</v>
      </c>
      <c r="H27" s="37" t="n">
        <f aca="false">SUM(B27:G27)</f>
        <v>3609</v>
      </c>
    </row>
    <row r="28" customFormat="false" ht="18" hidden="false" customHeight="true" outlineLevel="0" collapsed="false">
      <c r="A28" s="34" t="s">
        <v>92</v>
      </c>
      <c r="B28" s="9" t="n">
        <v>0.06</v>
      </c>
      <c r="C28" s="9" t="n">
        <v>0.08</v>
      </c>
      <c r="D28" s="9" t="n">
        <v>0.1</v>
      </c>
      <c r="E28" s="9" t="n">
        <v>0.1</v>
      </c>
      <c r="F28" s="9" t="n">
        <v>0.12</v>
      </c>
      <c r="G28" s="9" t="n">
        <v>0.12</v>
      </c>
    </row>
    <row r="29" customFormat="false" ht="18" hidden="false" customHeight="true" outlineLevel="0" collapsed="false">
      <c r="A29" s="5" t="s">
        <v>100</v>
      </c>
      <c r="B29" s="11" t="n">
        <f aca="false">ROUND(B27*B28,0)</f>
        <v>5</v>
      </c>
      <c r="C29" s="11" t="n">
        <f aca="false">ROUND(C27*C28,0)</f>
        <v>24</v>
      </c>
      <c r="D29" s="11" t="n">
        <f aca="false">ROUND(D27*D28,0)</f>
        <v>60</v>
      </c>
      <c r="E29" s="11" t="n">
        <f aca="false">ROUND(E27*E28,0)</f>
        <v>75</v>
      </c>
      <c r="F29" s="11" t="n">
        <f aca="false">ROUND(F27*F28,0)</f>
        <v>113</v>
      </c>
      <c r="G29" s="11" t="n">
        <f aca="false">ROUND(G27*G28,0)</f>
        <v>113</v>
      </c>
      <c r="H29" s="37" t="n">
        <f aca="false">SUM(B29:G29)</f>
        <v>390</v>
      </c>
    </row>
    <row r="30" customFormat="false" ht="18" hidden="false" customHeight="true" outlineLevel="0" collapsed="false">
      <c r="A30" s="12" t="s">
        <v>101</v>
      </c>
      <c r="B30" s="38" t="n">
        <v>15</v>
      </c>
      <c r="C30" s="38" t="n">
        <v>30</v>
      </c>
      <c r="D30" s="38" t="n">
        <v>40</v>
      </c>
      <c r="E30" s="38" t="n">
        <v>50</v>
      </c>
      <c r="F30" s="38" t="n">
        <v>60</v>
      </c>
      <c r="G30" s="38" t="n">
        <v>60</v>
      </c>
      <c r="H30" s="39"/>
    </row>
    <row r="32" customFormat="false" ht="18" hidden="false" customHeight="true" outlineLevel="0" collapsed="false">
      <c r="A32" s="4" t="s">
        <v>102</v>
      </c>
      <c r="B32" s="4"/>
      <c r="C32" s="4"/>
      <c r="D32" s="4"/>
      <c r="E32" s="4"/>
      <c r="F32" s="4"/>
      <c r="G32" s="4"/>
      <c r="H32" s="4"/>
    </row>
    <row r="33" customFormat="false" ht="18" hidden="false" customHeight="true" outlineLevel="0" collapsed="false">
      <c r="A33" s="5" t="s">
        <v>103</v>
      </c>
      <c r="B33" s="17" t="n">
        <f aca="false">B5+B15+B23</f>
        <v>125</v>
      </c>
      <c r="C33" s="17" t="n">
        <f aca="false">C5+C15+C23</f>
        <v>275</v>
      </c>
      <c r="D33" s="17" t="n">
        <f aca="false">D5+D15+D23</f>
        <v>400</v>
      </c>
      <c r="E33" s="17" t="n">
        <f aca="false">E5+E15+E23</f>
        <v>500</v>
      </c>
      <c r="F33" s="17" t="n">
        <f aca="false">F5+F15+F23</f>
        <v>575</v>
      </c>
      <c r="G33" s="17" t="n">
        <f aca="false">G5+G15+G23</f>
        <v>575</v>
      </c>
      <c r="H33" s="35" t="n">
        <f aca="false">SUM(B33:G33)</f>
        <v>2450</v>
      </c>
    </row>
    <row r="34" customFormat="false" ht="18" hidden="false" customHeight="true" outlineLevel="0" collapsed="false">
      <c r="A34" s="5" t="s">
        <v>104</v>
      </c>
      <c r="B34" s="11" t="n">
        <f aca="false">B11+B19+B29</f>
        <v>21</v>
      </c>
      <c r="C34" s="11" t="n">
        <f aca="false">C11+C19+C29</f>
        <v>74</v>
      </c>
      <c r="D34" s="11" t="n">
        <f aca="false">D11+D19+D29</f>
        <v>179</v>
      </c>
      <c r="E34" s="11" t="n">
        <f aca="false">E11+E19+E29</f>
        <v>296</v>
      </c>
      <c r="F34" s="11" t="n">
        <f aca="false">F11+F19+F29</f>
        <v>459</v>
      </c>
      <c r="G34" s="11" t="n">
        <f aca="false">G11+G19+G29</f>
        <v>482</v>
      </c>
      <c r="H34" s="37" t="n">
        <f aca="false">SUM(B34:G34)</f>
        <v>1511</v>
      </c>
    </row>
    <row r="35" customFormat="false" ht="18" hidden="false" customHeight="true" outlineLevel="0" collapsed="false">
      <c r="A35" s="5" t="s">
        <v>105</v>
      </c>
      <c r="B35" s="17" t="n">
        <f aca="false">IFERROR(B33/B34,0)</f>
        <v>5.95238095238095</v>
      </c>
      <c r="C35" s="17" t="n">
        <f aca="false">IFERROR(C33/C34,0)</f>
        <v>3.71621621621622</v>
      </c>
      <c r="D35" s="17" t="n">
        <f aca="false">IFERROR(D33/D34,0)</f>
        <v>2.23463687150838</v>
      </c>
      <c r="E35" s="17" t="n">
        <f aca="false">IFERROR(E33/E34,0)</f>
        <v>1.68918918918919</v>
      </c>
      <c r="F35" s="17" t="n">
        <f aca="false">IFERROR(F33/F34,0)</f>
        <v>1.25272331154684</v>
      </c>
      <c r="G35" s="17" t="n">
        <f aca="false">IFERROR(G33/G34,0)</f>
        <v>1.19294605809129</v>
      </c>
      <c r="H35" s="35" t="n">
        <f aca="false">IFERROR(H33/H34,0)</f>
        <v>1.62144275314361</v>
      </c>
    </row>
  </sheetData>
  <mergeCells count="4">
    <mergeCell ref="A4:H4"/>
    <mergeCell ref="A14:H14"/>
    <mergeCell ref="A22:H22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2026-04-03T23:43:25Z</dcterms:created>
  <dc:creator>openpyxl</dc:creator>
  <dc:description/>
  <dc:language>en-US</dc:language>
  <cp:lastModifiedBy/>
  <dcterms:modified xsi:type="dcterms:W3CDTF">2026-04-03T23:45:58Z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